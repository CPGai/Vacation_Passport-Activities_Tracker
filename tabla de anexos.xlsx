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ocuments\Arlene\"/>
    </mc:Choice>
  </mc:AlternateContent>
  <xr:revisionPtr revIDLastSave="0" documentId="13_ncr:1_{1DC009A4-0566-453A-88FE-37B1F04C51BE}" xr6:coauthVersionLast="47" xr6:coauthVersionMax="47" xr10:uidLastSave="{00000000-0000-0000-0000-000000000000}"/>
  <bookViews>
    <workbookView xWindow="-33017" yWindow="-103" windowWidth="33120" windowHeight="18000" activeTab="1" xr2:uid="{EB4BD8AE-6BDA-4F1B-B04E-FA5F371B04E4}"/>
  </bookViews>
  <sheets>
    <sheet name="Anexos" sheetId="1" r:id="rId1"/>
    <sheet name="Andre" sheetId="3" r:id="rId2"/>
    <sheet name="Marko y Al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3" l="1"/>
  <c r="J31" i="3"/>
  <c r="J29" i="3"/>
  <c r="G31" i="3"/>
  <c r="G28" i="3"/>
  <c r="F28" i="3"/>
  <c r="F31" i="3"/>
  <c r="F29" i="3"/>
  <c r="C28" i="3"/>
  <c r="D32" i="3"/>
  <c r="D29" i="3"/>
  <c r="K27" i="3"/>
  <c r="J28" i="3"/>
  <c r="J30" i="3"/>
  <c r="J32" i="3"/>
  <c r="J15" i="3"/>
  <c r="J26" i="3" s="1"/>
  <c r="I30" i="3"/>
  <c r="I29" i="3"/>
  <c r="I31" i="3"/>
  <c r="I32" i="3"/>
  <c r="I28" i="3"/>
  <c r="G30" i="3"/>
  <c r="G32" i="3"/>
  <c r="I18" i="3"/>
  <c r="F32" i="3"/>
  <c r="F15" i="3"/>
  <c r="F30" i="3"/>
  <c r="E32" i="3"/>
  <c r="E28" i="3"/>
  <c r="E29" i="3" s="1"/>
  <c r="D30" i="3"/>
  <c r="D28" i="3"/>
  <c r="D15" i="3"/>
  <c r="C18" i="3"/>
  <c r="C29" i="3"/>
  <c r="C30" i="3"/>
  <c r="C32" i="3"/>
  <c r="C23" i="3"/>
  <c r="C15" i="3"/>
  <c r="E26" i="3"/>
  <c r="D19" i="3"/>
  <c r="D26" i="3" s="1"/>
  <c r="D16" i="3"/>
  <c r="E16" i="3"/>
  <c r="G21" i="3"/>
  <c r="E15" i="3"/>
  <c r="G14" i="3"/>
  <c r="G26" i="3" s="1"/>
  <c r="I15" i="3"/>
  <c r="I26" i="3" s="1"/>
  <c r="C20" i="3"/>
  <c r="C14" i="3"/>
  <c r="L23" i="1"/>
  <c r="L25" i="1" s="1"/>
  <c r="L26" i="1" s="1"/>
  <c r="L27" i="1" s="1"/>
  <c r="L22" i="1"/>
  <c r="J22" i="1"/>
  <c r="J23" i="1" s="1"/>
  <c r="J25" i="1" s="1"/>
  <c r="J26" i="1" s="1"/>
  <c r="J27" i="1" s="1"/>
  <c r="C26" i="3" l="1"/>
  <c r="F19" i="3"/>
  <c r="F26" i="3" s="1"/>
  <c r="K26" i="3" s="1"/>
  <c r="L26" i="3" s="1"/>
  <c r="E31" i="3"/>
  <c r="K31" i="3" s="1"/>
  <c r="K32" i="3"/>
  <c r="K30" i="3"/>
  <c r="K29" i="3"/>
  <c r="K28" i="3"/>
  <c r="M26" i="3" l="1"/>
  <c r="L27" i="3"/>
</calcChain>
</file>

<file path=xl/sharedStrings.xml><?xml version="1.0" encoding="utf-8"?>
<sst xmlns="http://schemas.openxmlformats.org/spreadsheetml/2006/main" count="270" uniqueCount="170">
  <si>
    <t>Hospitales Personaliza - Jalisco 2025</t>
  </si>
  <si>
    <t>Hospitales Flexible Jalisco -2025</t>
  </si>
  <si>
    <t>CG conexion GNP 2025-2026</t>
  </si>
  <si>
    <t>CG Versatil 2025-2026</t>
  </si>
  <si>
    <t>CG Premium, Platino &amp; Flexibles 2026-2027</t>
  </si>
  <si>
    <t>Hospitales Premier Versatil 2025</t>
  </si>
  <si>
    <t>CG Personaliza Variable 2026-2027</t>
  </si>
  <si>
    <t>Personaliza Fija/Variable</t>
  </si>
  <si>
    <t>Premium / Platino</t>
  </si>
  <si>
    <t>Flexible Indigo/Ambar/Cuarzo</t>
  </si>
  <si>
    <t>Versatil</t>
  </si>
  <si>
    <t>X</t>
  </si>
  <si>
    <t>Anexos</t>
  </si>
  <si>
    <t>Poliza</t>
  </si>
  <si>
    <t>Opciones</t>
  </si>
  <si>
    <t>Soy Cliente GNP</t>
  </si>
  <si>
    <t>Dentalia</t>
  </si>
  <si>
    <t>Hospitales</t>
  </si>
  <si>
    <t>Cuida tu Salud</t>
  </si>
  <si>
    <t>Como parte de su renovación, ahora cuentan sin costo adicional, con el beneficio GNP Cuida tu Salud, una plataforma enfocada en la prevención que incluye check-up anual, asesorías médicas a distancia, acceso a especialistas y estudios con tarifas preferenciales. Les invito a consultar el archivo adjunto para conocer todos sus beneficios.</t>
  </si>
  <si>
    <t>Sabado</t>
  </si>
  <si>
    <t>Viernes</t>
  </si>
  <si>
    <t>Jueves</t>
  </si>
  <si>
    <t>Domingo</t>
  </si>
  <si>
    <t>Martes</t>
  </si>
  <si>
    <t>Miercoles</t>
  </si>
  <si>
    <t>Lunes</t>
  </si>
  <si>
    <t>Casa</t>
  </si>
  <si>
    <t>Niagara Falls</t>
  </si>
  <si>
    <t>Canal</t>
  </si>
  <si>
    <t>Niagara on the Lake</t>
  </si>
  <si>
    <t>Whirpool</t>
  </si>
  <si>
    <t>Algoquin</t>
  </si>
  <si>
    <t>T</t>
  </si>
  <si>
    <t>Casa Loma</t>
  </si>
  <si>
    <t>AGO</t>
  </si>
  <si>
    <t>Waterfront</t>
  </si>
  <si>
    <t>Destilery District</t>
  </si>
  <si>
    <t>Toronto Centro</t>
  </si>
  <si>
    <t>Queen</t>
  </si>
  <si>
    <t>University</t>
  </si>
  <si>
    <t>Albion</t>
  </si>
  <si>
    <t>Devils bowl</t>
  </si>
  <si>
    <t>Tifanny</t>
  </si>
  <si>
    <t>Garden</t>
  </si>
  <si>
    <t>Burlington</t>
  </si>
  <si>
    <t>casa</t>
  </si>
  <si>
    <t>xxxx</t>
  </si>
  <si>
    <t>Otras opciones</t>
  </si>
  <si>
    <t>Spa</t>
  </si>
  <si>
    <t>Nickel Beach/ Pueblo donde vive brenda</t>
  </si>
  <si>
    <t>Mitsu</t>
  </si>
  <si>
    <t>Vac</t>
  </si>
  <si>
    <t>Holiday</t>
  </si>
  <si>
    <t>Tifany</t>
  </si>
  <si>
    <t>Ardillas</t>
  </si>
  <si>
    <t>Bird Kingdom</t>
  </si>
  <si>
    <t>Tonchi</t>
  </si>
  <si>
    <t>Aeropuerto</t>
  </si>
  <si>
    <t>Rattle Snake</t>
  </si>
  <si>
    <t>agregar parrafo</t>
  </si>
  <si>
    <t>Tabla</t>
  </si>
  <si>
    <t>Cuida tu salud</t>
  </si>
  <si>
    <t>Todos</t>
  </si>
  <si>
    <t>Parrafo</t>
  </si>
  <si>
    <t>Adjunto</t>
  </si>
  <si>
    <t>CG -</t>
  </si>
  <si>
    <t>Fecha limite de pago :</t>
  </si>
  <si>
    <t>Los cargos se continuaran realizando los dias XX de cada mes a la tarjeta registrada</t>
  </si>
  <si>
    <t>opc B 2 rango</t>
  </si>
  <si>
    <t>opc b-3rango</t>
  </si>
  <si>
    <t>PRIMA NETA</t>
  </si>
  <si>
    <t>RECARGO</t>
  </si>
  <si>
    <t>Derecho de poliza</t>
  </si>
  <si>
    <t>iva</t>
  </si>
  <si>
    <t>Importe a pagar</t>
  </si>
  <si>
    <t>Regreso</t>
  </si>
  <si>
    <t>9pm</t>
  </si>
  <si>
    <t>Llegada</t>
  </si>
  <si>
    <t>Behind the falls</t>
  </si>
  <si>
    <t>Niagara iluminada</t>
  </si>
  <si>
    <t>2pm</t>
  </si>
  <si>
    <t>lunch</t>
  </si>
  <si>
    <t>Safari</t>
  </si>
  <si>
    <t>Lunch</t>
  </si>
  <si>
    <t>Speedway / skyquest ropes</t>
  </si>
  <si>
    <t>Paddle boats / splash pad</t>
  </si>
  <si>
    <t>Juegos de mesa</t>
  </si>
  <si>
    <t>Pelicula</t>
  </si>
  <si>
    <t>11am</t>
  </si>
  <si>
    <t>ROM</t>
  </si>
  <si>
    <t>Restaurant</t>
  </si>
  <si>
    <t>go carts</t>
  </si>
  <si>
    <t>video juegos</t>
  </si>
  <si>
    <t>casco de sandia</t>
  </si>
  <si>
    <t>Mini golf</t>
  </si>
  <si>
    <t>Arcade</t>
  </si>
  <si>
    <t>3pm</t>
  </si>
  <si>
    <t>5pm</t>
  </si>
  <si>
    <t>George Historic Site</t>
  </si>
  <si>
    <t>tiendas / Helado</t>
  </si>
  <si>
    <t>parque junto al lago</t>
  </si>
  <si>
    <t>Paddle board</t>
  </si>
  <si>
    <t>Pic nick /hamburguesas</t>
  </si>
  <si>
    <t>traer a los perros al canal</t>
  </si>
  <si>
    <t>Video juegos</t>
  </si>
  <si>
    <t>whirlpool</t>
  </si>
  <si>
    <t>Skywheel</t>
  </si>
  <si>
    <t>Atraccion</t>
  </si>
  <si>
    <t>Nickel Beach</t>
  </si>
  <si>
    <t>Splashtown</t>
  </si>
  <si>
    <t>Helado</t>
  </si>
  <si>
    <t>Water park</t>
  </si>
  <si>
    <t>Canadian Adventure Champion - Summer 2026</t>
  </si>
  <si>
    <t>Pasaporte de la aventura Canadiense</t>
  </si>
  <si>
    <t>Canada</t>
  </si>
  <si>
    <t>Fort George</t>
  </si>
  <si>
    <t>Welland Canal</t>
  </si>
  <si>
    <t>Clifton Hill</t>
  </si>
  <si>
    <t>Water Park</t>
  </si>
  <si>
    <t>Whirlpool</t>
  </si>
  <si>
    <t>40 adultos 27 kids</t>
  </si>
  <si>
    <t>Fun pass con 6 atracciones</t>
  </si>
  <si>
    <t>13 Adulto 7 kids</t>
  </si>
  <si>
    <t>Golf Dino</t>
  </si>
  <si>
    <t>Golf Wizard</t>
  </si>
  <si>
    <t>11 adulto 7 kid</t>
  </si>
  <si>
    <t>30 pp online</t>
  </si>
  <si>
    <t>62 pp</t>
  </si>
  <si>
    <t>Behind</t>
  </si>
  <si>
    <t>43 +34</t>
  </si>
  <si>
    <t>23 +14</t>
  </si>
  <si>
    <t>26 adult 0</t>
  </si>
  <si>
    <t>38 PP all day o 31 2hrs</t>
  </si>
  <si>
    <t>3 laps $16 - 9 laps $26.5</t>
  </si>
  <si>
    <t>Regalos</t>
  </si>
  <si>
    <t>Pastel</t>
  </si>
  <si>
    <t>?</t>
  </si>
  <si>
    <t>All activities included</t>
  </si>
  <si>
    <t>Parking</t>
  </si>
  <si>
    <t>15 adult 0 kids</t>
  </si>
  <si>
    <t>Total</t>
  </si>
  <si>
    <t>Arlene</t>
  </si>
  <si>
    <t>Rigo</t>
  </si>
  <si>
    <t>Andre</t>
  </si>
  <si>
    <t>Carlos</t>
  </si>
  <si>
    <t>Karen</t>
  </si>
  <si>
    <t>comida</t>
  </si>
  <si>
    <t>Hamburguesas</t>
  </si>
  <si>
    <t>sandwiches</t>
  </si>
  <si>
    <t>carne en su jugo</t>
  </si>
  <si>
    <t>luches pierna</t>
  </si>
  <si>
    <t>barbacoa</t>
  </si>
  <si>
    <t>cena</t>
  </si>
  <si>
    <t>invento</t>
  </si>
  <si>
    <t>pozole</t>
  </si>
  <si>
    <t>cereal / quesadillas</t>
  </si>
  <si>
    <t>fabada</t>
  </si>
  <si>
    <t>Weather</t>
  </si>
  <si>
    <t>Dale de comer a las aves</t>
  </si>
  <si>
    <t>Picnic time</t>
  </si>
  <si>
    <t>Encuentra las 5 cosas que mas impresionantes del museo</t>
  </si>
  <si>
    <t>Desde aqui puedes ver estados unidos!</t>
  </si>
  <si>
    <t>Elije tu tobogan favorito</t>
  </si>
  <si>
    <t>Baja al remolino mas grande de Ontario</t>
  </si>
  <si>
    <t>Captura la foto perfecta</t>
  </si>
  <si>
    <t>Viaja 200 años al pasado y conviértete en un soldado de 1812</t>
  </si>
  <si>
    <t>Conquista el circuito de obstaculos</t>
  </si>
  <si>
    <t>Conviértete en explorador y descubre a los animales más increíbles.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</si>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</sst>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1D1F21"/>
      <name val="Segoe U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3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2" fontId="1" fillId="0" borderId="0" xfId="0" applyNumberFormat="1" applyFont="1"/>
    <xf numFmtId="0" fontId="1" fillId="0" borderId="0" xfId="0" applyFont="1"/>
    <xf numFmtId="0" fontId="0" fillId="0" borderId="1" xfId="0" applyFill="1" applyBorder="1"/>
    <xf numFmtId="0" fontId="2" fillId="0" borderId="0" xfId="0" applyFont="1" applyAlignment="1">
      <alignment horizontal="left" vertical="top" wrapText="1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2" xfId="0" applyFill="1" applyBorder="1"/>
    <xf numFmtId="9" fontId="0" fillId="0" borderId="0" xfId="0" applyNumberFormat="1"/>
    <xf numFmtId="44" fontId="0" fillId="0" borderId="0" xfId="1" applyFont="1"/>
    <xf numFmtId="10" fontId="0" fillId="0" borderId="0" xfId="0" applyNumberFormat="1"/>
    <xf numFmtId="44" fontId="0" fillId="0" borderId="0" xfId="0" applyNumberFormat="1"/>
    <xf numFmtId="16" fontId="0" fillId="0" borderId="0" xfId="0" applyNumberFormat="1"/>
    <xf numFmtId="6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/>
    <xf numFmtId="0" fontId="0" fillId="10" borderId="0" xfId="0" applyFill="1"/>
    <xf numFmtId="0" fontId="0" fillId="11" borderId="0" xfId="0" applyFill="1"/>
    <xf numFmtId="2" fontId="0" fillId="11" borderId="0" xfId="0" applyNumberForma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6" fontId="1" fillId="0" borderId="0" xfId="0" applyNumberFormat="1" applyFont="1"/>
    <xf numFmtId="0" fontId="1" fillId="14" borderId="0" xfId="0" applyFont="1" applyFill="1"/>
    <xf numFmtId="0" fontId="1" fillId="0" borderId="0" xfId="0" applyFont="1" applyFill="1"/>
    <xf numFmtId="8" fontId="0" fillId="0" borderId="0" xfId="0" applyNumberFormat="1"/>
    <xf numFmtId="2" fontId="0" fillId="0" borderId="0" xfId="0" applyNumberFormat="1"/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99CC00"/>
      <color rgb="FF66FF33"/>
      <color rgb="FFFF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9A66-A6CC-486C-8D8C-1B157A673002}">
  <dimension ref="A1:L27"/>
  <sheetViews>
    <sheetView topLeftCell="A10" zoomScale="98" zoomScaleNormal="98" workbookViewId="0">
      <selection activeCell="A39" sqref="A39"/>
    </sheetView>
  </sheetViews>
  <sheetFormatPr defaultRowHeight="14.75" x14ac:dyDescent="0.75"/>
  <cols>
    <col min="1" max="1" width="35.453125" bestFit="1" customWidth="1"/>
    <col min="2" max="2" width="20.6796875" bestFit="1" customWidth="1"/>
    <col min="3" max="3" width="17.04296875" bestFit="1" customWidth="1"/>
    <col min="4" max="4" width="25.1796875" bestFit="1" customWidth="1"/>
    <col min="6" max="6" width="29.2265625" customWidth="1"/>
  </cols>
  <sheetData>
    <row r="1" spans="1:6" x14ac:dyDescent="0.75">
      <c r="A1" s="1" t="s">
        <v>65</v>
      </c>
      <c r="B1" s="1" t="s">
        <v>7</v>
      </c>
      <c r="C1" s="1" t="s">
        <v>8</v>
      </c>
      <c r="D1" s="1" t="s">
        <v>9</v>
      </c>
      <c r="E1" s="1" t="s">
        <v>10</v>
      </c>
      <c r="F1" s="10" t="s">
        <v>60</v>
      </c>
    </row>
    <row r="2" spans="1:6" x14ac:dyDescent="0.75">
      <c r="A2" s="1" t="s">
        <v>5</v>
      </c>
      <c r="B2" s="1"/>
      <c r="C2" s="2" t="s">
        <v>11</v>
      </c>
      <c r="D2" s="1"/>
      <c r="E2" s="2" t="s">
        <v>11</v>
      </c>
    </row>
    <row r="3" spans="1:6" x14ac:dyDescent="0.75">
      <c r="A3" s="1" t="s">
        <v>1</v>
      </c>
      <c r="B3" s="1"/>
      <c r="C3" s="1"/>
      <c r="D3" s="2" t="s">
        <v>11</v>
      </c>
      <c r="E3" s="1"/>
    </row>
    <row r="4" spans="1:6" x14ac:dyDescent="0.75">
      <c r="A4" s="1" t="s">
        <v>0</v>
      </c>
      <c r="B4" s="2" t="s">
        <v>11</v>
      </c>
      <c r="C4" s="1"/>
      <c r="D4" s="1"/>
      <c r="E4" s="1"/>
    </row>
    <row r="5" spans="1:6" x14ac:dyDescent="0.75">
      <c r="A5" s="1"/>
      <c r="B5" s="1"/>
      <c r="C5" s="1"/>
      <c r="D5" s="1"/>
      <c r="E5" s="1"/>
    </row>
    <row r="6" spans="1:6" x14ac:dyDescent="0.75">
      <c r="A6" s="1" t="s">
        <v>4</v>
      </c>
      <c r="B6" s="1"/>
      <c r="C6" s="2" t="s">
        <v>11</v>
      </c>
      <c r="D6" s="2" t="s">
        <v>11</v>
      </c>
      <c r="E6" s="1"/>
    </row>
    <row r="7" spans="1:6" x14ac:dyDescent="0.75">
      <c r="A7" s="1" t="s">
        <v>2</v>
      </c>
      <c r="B7" s="1"/>
      <c r="C7" s="1"/>
      <c r="D7" s="1"/>
      <c r="E7" s="1"/>
    </row>
    <row r="8" spans="1:6" x14ac:dyDescent="0.75">
      <c r="A8" s="1" t="s">
        <v>3</v>
      </c>
      <c r="B8" s="1"/>
      <c r="C8" s="1"/>
      <c r="D8" s="1"/>
      <c r="E8" s="2" t="s">
        <v>11</v>
      </c>
    </row>
    <row r="9" spans="1:6" x14ac:dyDescent="0.75">
      <c r="A9" s="1" t="s">
        <v>6</v>
      </c>
      <c r="B9" s="2" t="s">
        <v>11</v>
      </c>
      <c r="C9" s="1"/>
      <c r="D9" s="1"/>
      <c r="E9" s="1"/>
    </row>
    <row r="10" spans="1:6" x14ac:dyDescent="0.75">
      <c r="A10" s="1"/>
      <c r="B10" s="1"/>
      <c r="C10" s="1"/>
      <c r="D10" s="1"/>
      <c r="E10" s="1"/>
    </row>
    <row r="11" spans="1:6" ht="29.15" customHeight="1" x14ac:dyDescent="0.75">
      <c r="A11" s="5" t="s">
        <v>18</v>
      </c>
      <c r="B11" s="2" t="s">
        <v>11</v>
      </c>
      <c r="C11" s="1"/>
      <c r="D11" s="1"/>
      <c r="E11" s="2" t="s">
        <v>11</v>
      </c>
    </row>
    <row r="12" spans="1:6" ht="18.75" customHeight="1" x14ac:dyDescent="0.75">
      <c r="A12" s="10" t="s">
        <v>64</v>
      </c>
      <c r="B12" s="2" t="s">
        <v>11</v>
      </c>
      <c r="E12" s="2" t="s">
        <v>11</v>
      </c>
      <c r="F12" s="6" t="s">
        <v>19</v>
      </c>
    </row>
    <row r="13" spans="1:6" x14ac:dyDescent="0.75">
      <c r="D13" s="4" t="s">
        <v>12</v>
      </c>
    </row>
    <row r="14" spans="1:6" x14ac:dyDescent="0.75">
      <c r="A14" t="s">
        <v>67</v>
      </c>
      <c r="B14" s="3" t="s">
        <v>68</v>
      </c>
      <c r="D14" t="s">
        <v>13</v>
      </c>
      <c r="E14" t="s">
        <v>63</v>
      </c>
    </row>
    <row r="15" spans="1:6" x14ac:dyDescent="0.75">
      <c r="D15" t="s">
        <v>14</v>
      </c>
      <c r="E15" t="s">
        <v>63</v>
      </c>
    </row>
    <row r="16" spans="1:6" x14ac:dyDescent="0.75">
      <c r="D16" t="s">
        <v>15</v>
      </c>
      <c r="E16" t="s">
        <v>63</v>
      </c>
    </row>
    <row r="17" spans="4:12" x14ac:dyDescent="0.75">
      <c r="D17" t="s">
        <v>16</v>
      </c>
      <c r="E17" t="s">
        <v>63</v>
      </c>
    </row>
    <row r="18" spans="4:12" x14ac:dyDescent="0.75">
      <c r="D18" t="s">
        <v>17</v>
      </c>
      <c r="E18" t="s">
        <v>61</v>
      </c>
    </row>
    <row r="19" spans="4:12" x14ac:dyDescent="0.75">
      <c r="D19" t="s">
        <v>66</v>
      </c>
      <c r="E19" t="s">
        <v>61</v>
      </c>
    </row>
    <row r="20" spans="4:12" x14ac:dyDescent="0.75">
      <c r="D20" t="s">
        <v>62</v>
      </c>
      <c r="E20" t="s">
        <v>61</v>
      </c>
    </row>
    <row r="21" spans="4:12" x14ac:dyDescent="0.75">
      <c r="J21" t="s">
        <v>69</v>
      </c>
      <c r="L21" t="s">
        <v>70</v>
      </c>
    </row>
    <row r="22" spans="4:12" x14ac:dyDescent="0.75">
      <c r="G22" t="s">
        <v>71</v>
      </c>
      <c r="H22">
        <v>25618.99</v>
      </c>
      <c r="I22" s="11">
        <v>0.1</v>
      </c>
      <c r="J22" s="12">
        <f>H22*1.1</f>
        <v>28180.889000000003</v>
      </c>
      <c r="K22">
        <v>23999.27</v>
      </c>
      <c r="L22" s="12">
        <f>K22*1.1</f>
        <v>26399.197000000004</v>
      </c>
    </row>
    <row r="23" spans="4:12" x14ac:dyDescent="0.75">
      <c r="G23" t="s">
        <v>72</v>
      </c>
      <c r="I23" s="13">
        <v>0.08</v>
      </c>
      <c r="J23" s="12">
        <f>J22*I23</f>
        <v>2254.4711200000002</v>
      </c>
      <c r="L23" s="12">
        <f>L22*I23</f>
        <v>2111.9357600000003</v>
      </c>
    </row>
    <row r="24" spans="4:12" x14ac:dyDescent="0.75">
      <c r="G24" t="s">
        <v>73</v>
      </c>
      <c r="J24" s="12">
        <v>1165</v>
      </c>
      <c r="L24" s="12">
        <v>1165</v>
      </c>
    </row>
    <row r="25" spans="4:12" x14ac:dyDescent="0.75">
      <c r="G25" t="s">
        <v>74</v>
      </c>
      <c r="I25" s="11">
        <v>0.16</v>
      </c>
      <c r="J25" s="12">
        <f>(J24+J23+J22)*I25</f>
        <v>5056.0576192000008</v>
      </c>
      <c r="K25" s="12"/>
      <c r="L25" s="12">
        <f>(L24+L23+L22)*I25</f>
        <v>4748.1812416000012</v>
      </c>
    </row>
    <row r="26" spans="4:12" x14ac:dyDescent="0.75">
      <c r="G26" t="s">
        <v>75</v>
      </c>
      <c r="J26" s="12">
        <f>J25+J24+J23+J22</f>
        <v>36656.417739200006</v>
      </c>
      <c r="K26" s="12"/>
      <c r="L26" s="12">
        <f t="shared" ref="L26" si="0">L25+L24+L23+L22</f>
        <v>34424.314001600003</v>
      </c>
    </row>
    <row r="27" spans="4:12" x14ac:dyDescent="0.75">
      <c r="J27" s="14">
        <f>J26/12</f>
        <v>3054.701478266667</v>
      </c>
      <c r="L27" s="14">
        <f>L26/12</f>
        <v>2868.6928334666668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27E0-57F8-4D2C-8CA1-7D1C548DDDED}">
  <dimension ref="A1:AF61"/>
  <sheetViews>
    <sheetView tabSelected="1" zoomScale="104" zoomScaleNormal="104" workbookViewId="0">
      <pane xSplit="1" topLeftCell="F1" activePane="topRight" state="frozen"/>
      <selection activeCell="A15" sqref="A15"/>
      <selection pane="topRight" activeCell="M5" sqref="M5"/>
    </sheetView>
  </sheetViews>
  <sheetFormatPr defaultRowHeight="14.75" x14ac:dyDescent="0.75"/>
  <cols>
    <col min="2" max="2" width="23.08984375" bestFit="1" customWidth="1"/>
    <col min="3" max="3" width="21.08984375" customWidth="1"/>
    <col min="4" max="4" width="23.7265625" bestFit="1" customWidth="1"/>
    <col min="5" max="5" width="15.6796875" customWidth="1"/>
    <col min="6" max="6" width="17.36328125" customWidth="1"/>
    <col min="7" max="7" width="16.453125" customWidth="1"/>
    <col min="8" max="8" width="22.04296875" customWidth="1"/>
    <col min="9" max="9" width="23.1328125" customWidth="1"/>
    <col min="10" max="10" width="12.76953125" customWidth="1"/>
    <col min="11" max="11" width="9.76953125" bestFit="1" customWidth="1"/>
    <col min="32" max="32" width="8.36328125" bestFit="1" customWidth="1"/>
  </cols>
  <sheetData>
    <row r="1" spans="1:32" x14ac:dyDescent="0.75">
      <c r="B1" t="s">
        <v>22</v>
      </c>
      <c r="C1" t="s">
        <v>21</v>
      </c>
      <c r="D1" t="s">
        <v>20</v>
      </c>
      <c r="E1" t="s">
        <v>23</v>
      </c>
      <c r="F1" t="s">
        <v>26</v>
      </c>
      <c r="G1" t="s">
        <v>24</v>
      </c>
      <c r="H1" t="s">
        <v>25</v>
      </c>
      <c r="I1" t="s">
        <v>22</v>
      </c>
      <c r="J1" t="s">
        <v>21</v>
      </c>
      <c r="K1" t="s">
        <v>20</v>
      </c>
      <c r="N1" t="s">
        <v>114</v>
      </c>
    </row>
    <row r="2" spans="1:32" x14ac:dyDescent="0.75">
      <c r="B2" s="15">
        <v>46261</v>
      </c>
      <c r="C2" s="15">
        <v>46262</v>
      </c>
      <c r="D2" s="15">
        <v>46263</v>
      </c>
      <c r="E2" s="15">
        <v>46264</v>
      </c>
      <c r="F2" s="15">
        <v>46265</v>
      </c>
      <c r="G2" s="15">
        <v>46266</v>
      </c>
      <c r="H2" s="15">
        <v>46267</v>
      </c>
      <c r="I2" s="15">
        <v>46268</v>
      </c>
      <c r="J2" s="15">
        <v>46269</v>
      </c>
      <c r="K2" s="15">
        <v>46270</v>
      </c>
      <c r="N2" t="s">
        <v>115</v>
      </c>
    </row>
    <row r="3" spans="1:32" x14ac:dyDescent="0.75">
      <c r="C3" s="9" t="s">
        <v>28</v>
      </c>
      <c r="F3" t="s">
        <v>106</v>
      </c>
      <c r="G3" s="19" t="s">
        <v>56</v>
      </c>
      <c r="I3" s="18" t="s">
        <v>83</v>
      </c>
      <c r="K3" t="s">
        <v>76</v>
      </c>
      <c r="N3" t="s">
        <v>28</v>
      </c>
      <c r="P3" t="s">
        <v>165</v>
      </c>
    </row>
    <row r="4" spans="1:32" x14ac:dyDescent="0.75">
      <c r="A4" t="s">
        <v>89</v>
      </c>
      <c r="C4" s="8" t="s">
        <v>79</v>
      </c>
      <c r="D4" s="22" t="s">
        <v>110</v>
      </c>
      <c r="E4" s="21" t="s">
        <v>90</v>
      </c>
      <c r="F4" s="20" t="s">
        <v>99</v>
      </c>
      <c r="H4" t="s">
        <v>102</v>
      </c>
      <c r="J4" s="17" t="s">
        <v>112</v>
      </c>
      <c r="M4" t="s">
        <v>169</v>
      </c>
      <c r="N4" t="s">
        <v>109</v>
      </c>
      <c r="P4" s="35" t="s">
        <v>167</v>
      </c>
    </row>
    <row r="5" spans="1:32" x14ac:dyDescent="0.75">
      <c r="A5" t="s">
        <v>81</v>
      </c>
      <c r="C5" t="s">
        <v>82</v>
      </c>
      <c r="F5" t="s">
        <v>84</v>
      </c>
      <c r="G5" t="s">
        <v>84</v>
      </c>
      <c r="H5" t="s">
        <v>103</v>
      </c>
      <c r="I5" t="s">
        <v>84</v>
      </c>
      <c r="N5" t="s">
        <v>90</v>
      </c>
      <c r="P5" s="35" t="s">
        <v>161</v>
      </c>
    </row>
    <row r="6" spans="1:32" x14ac:dyDescent="0.75">
      <c r="A6" t="s">
        <v>97</v>
      </c>
      <c r="C6" s="7" t="s">
        <v>95</v>
      </c>
      <c r="D6" s="28" t="s">
        <v>109</v>
      </c>
      <c r="E6" s="23" t="s">
        <v>91</v>
      </c>
      <c r="G6" s="29" t="s">
        <v>96</v>
      </c>
      <c r="I6" s="18" t="s">
        <v>85</v>
      </c>
      <c r="M6" t="s">
        <v>169</v>
      </c>
      <c r="N6" t="s">
        <v>30</v>
      </c>
      <c r="P6" t="s">
        <v>162</v>
      </c>
    </row>
    <row r="7" spans="1:32" x14ac:dyDescent="0.75">
      <c r="A7" t="s">
        <v>98</v>
      </c>
      <c r="C7" s="24" t="s">
        <v>92</v>
      </c>
      <c r="F7" t="s">
        <v>100</v>
      </c>
      <c r="G7" s="7" t="s">
        <v>107</v>
      </c>
      <c r="H7" t="s">
        <v>104</v>
      </c>
      <c r="I7" s="18" t="s">
        <v>86</v>
      </c>
      <c r="N7" t="s">
        <v>120</v>
      </c>
      <c r="P7" t="s">
        <v>164</v>
      </c>
    </row>
    <row r="8" spans="1:32" x14ac:dyDescent="0.75">
      <c r="D8" s="26" t="s">
        <v>111</v>
      </c>
      <c r="E8" t="s">
        <v>93</v>
      </c>
      <c r="F8" t="s">
        <v>101</v>
      </c>
      <c r="G8" s="7" t="s">
        <v>108</v>
      </c>
      <c r="I8" t="s">
        <v>94</v>
      </c>
      <c r="M8" t="s">
        <v>169</v>
      </c>
      <c r="N8" t="s">
        <v>116</v>
      </c>
      <c r="P8" t="s">
        <v>166</v>
      </c>
      <c r="AF8" s="35" t="s">
        <v>113</v>
      </c>
    </row>
    <row r="9" spans="1:32" x14ac:dyDescent="0.75">
      <c r="C9" t="s">
        <v>87</v>
      </c>
      <c r="D9" t="s">
        <v>105</v>
      </c>
      <c r="E9" s="27" t="s">
        <v>136</v>
      </c>
      <c r="F9" t="s">
        <v>105</v>
      </c>
      <c r="G9" t="s">
        <v>80</v>
      </c>
      <c r="H9" t="s">
        <v>87</v>
      </c>
      <c r="I9" t="s">
        <v>88</v>
      </c>
      <c r="J9" t="s">
        <v>87</v>
      </c>
      <c r="M9" t="s">
        <v>169</v>
      </c>
      <c r="N9" t="s">
        <v>56</v>
      </c>
      <c r="P9" t="s">
        <v>159</v>
      </c>
    </row>
    <row r="10" spans="1:32" x14ac:dyDescent="0.75">
      <c r="A10" t="s">
        <v>77</v>
      </c>
      <c r="B10" t="s">
        <v>78</v>
      </c>
      <c r="E10" t="s">
        <v>135</v>
      </c>
      <c r="G10" t="s">
        <v>88</v>
      </c>
      <c r="M10" t="s">
        <v>169</v>
      </c>
      <c r="N10" t="s">
        <v>117</v>
      </c>
      <c r="P10" t="s">
        <v>160</v>
      </c>
    </row>
    <row r="11" spans="1:32" x14ac:dyDescent="0.75">
      <c r="M11" t="s">
        <v>169</v>
      </c>
      <c r="N11" t="s">
        <v>83</v>
      </c>
      <c r="P11" t="s">
        <v>168</v>
      </c>
    </row>
    <row r="12" spans="1:32" x14ac:dyDescent="0.75">
      <c r="N12" t="s">
        <v>119</v>
      </c>
      <c r="P12" s="35" t="s">
        <v>163</v>
      </c>
    </row>
    <row r="13" spans="1:32" x14ac:dyDescent="0.75">
      <c r="B13" t="s">
        <v>122</v>
      </c>
      <c r="C13" s="7" t="s">
        <v>121</v>
      </c>
      <c r="G13" t="s">
        <v>131</v>
      </c>
      <c r="H13" s="16">
        <v>0</v>
      </c>
      <c r="I13" t="s">
        <v>138</v>
      </c>
      <c r="J13" s="17" t="s">
        <v>128</v>
      </c>
    </row>
    <row r="14" spans="1:32" x14ac:dyDescent="0.75">
      <c r="C14" s="7">
        <f>((40*4)+27)*1.13</f>
        <v>211.30999999999997</v>
      </c>
      <c r="D14" s="22" t="s">
        <v>133</v>
      </c>
      <c r="E14" t="s">
        <v>132</v>
      </c>
      <c r="F14" s="20" t="s">
        <v>140</v>
      </c>
      <c r="G14" s="19">
        <f>((23*4)+14)*1.13</f>
        <v>119.77999999999999</v>
      </c>
      <c r="I14" t="s">
        <v>130</v>
      </c>
      <c r="J14" s="17" t="s">
        <v>127</v>
      </c>
    </row>
    <row r="15" spans="1:32" x14ac:dyDescent="0.75">
      <c r="B15" t="s">
        <v>129</v>
      </c>
      <c r="C15" s="8">
        <f>((33*2)+21.5)*1.13</f>
        <v>98.874999999999986</v>
      </c>
      <c r="D15" s="22">
        <f>(38*1.13)*2</f>
        <v>85.88</v>
      </c>
      <c r="E15" s="21">
        <f>(26*4)*1.13</f>
        <v>117.51999999999998</v>
      </c>
      <c r="F15" s="20">
        <f>(15*4)*1.13</f>
        <v>67.8</v>
      </c>
      <c r="G15" s="29">
        <v>50</v>
      </c>
      <c r="I15" s="18">
        <f>((43*4)+34)*1.13</f>
        <v>232.77999999999997</v>
      </c>
      <c r="J15" s="17">
        <f>(30*5)*1.13</f>
        <v>169.49999999999997</v>
      </c>
    </row>
    <row r="16" spans="1:32" x14ac:dyDescent="0.75">
      <c r="B16" s="4" t="s">
        <v>139</v>
      </c>
      <c r="C16" s="30">
        <v>40</v>
      </c>
      <c r="D16" s="22">
        <f>31*1.13</f>
        <v>35.029999999999994</v>
      </c>
      <c r="E16" s="23">
        <f>40*5</f>
        <v>200</v>
      </c>
      <c r="F16" s="30">
        <v>9</v>
      </c>
      <c r="G16" s="30">
        <v>40</v>
      </c>
      <c r="J16" s="32">
        <v>40</v>
      </c>
    </row>
    <row r="17" spans="1:13" x14ac:dyDescent="0.75">
      <c r="B17" t="s">
        <v>124</v>
      </c>
      <c r="C17" t="s">
        <v>123</v>
      </c>
      <c r="D17" s="31">
        <v>40</v>
      </c>
    </row>
    <row r="18" spans="1:13" x14ac:dyDescent="0.75">
      <c r="C18" s="7">
        <f>((13*3)+7)*1.13</f>
        <v>51.98</v>
      </c>
      <c r="E18" s="27">
        <v>25</v>
      </c>
      <c r="I18" s="9">
        <f>G18*4</f>
        <v>0</v>
      </c>
    </row>
    <row r="19" spans="1:13" x14ac:dyDescent="0.75">
      <c r="B19" t="s">
        <v>125</v>
      </c>
      <c r="C19" t="s">
        <v>126</v>
      </c>
      <c r="D19" s="26">
        <f>(12*5)*1.13</f>
        <v>67.8</v>
      </c>
      <c r="F19" s="26">
        <f>D19</f>
        <v>67.8</v>
      </c>
    </row>
    <row r="20" spans="1:13" x14ac:dyDescent="0.75">
      <c r="C20" s="7">
        <f>((11*4)+7)*1.13</f>
        <v>57.629999999999995</v>
      </c>
    </row>
    <row r="21" spans="1:13" x14ac:dyDescent="0.75">
      <c r="B21" t="s">
        <v>107</v>
      </c>
      <c r="G21" s="7">
        <f>((15*4)+7)*1.13</f>
        <v>75.709999999999994</v>
      </c>
    </row>
    <row r="22" spans="1:13" x14ac:dyDescent="0.75">
      <c r="C22" s="24" t="s">
        <v>134</v>
      </c>
      <c r="G22" s="7" t="s">
        <v>137</v>
      </c>
    </row>
    <row r="23" spans="1:13" x14ac:dyDescent="0.75">
      <c r="C23" s="25">
        <f>(26.5*4)*1.13</f>
        <v>119.77999999999999</v>
      </c>
    </row>
    <row r="24" spans="1:13" x14ac:dyDescent="0.75">
      <c r="A24" t="s">
        <v>147</v>
      </c>
      <c r="C24" t="s">
        <v>150</v>
      </c>
      <c r="D24" t="s">
        <v>148</v>
      </c>
      <c r="F24" t="s">
        <v>157</v>
      </c>
      <c r="G24" t="s">
        <v>152</v>
      </c>
      <c r="H24" t="s">
        <v>148</v>
      </c>
      <c r="I24" t="s">
        <v>151</v>
      </c>
      <c r="J24" t="s">
        <v>149</v>
      </c>
    </row>
    <row r="25" spans="1:13" x14ac:dyDescent="0.75">
      <c r="A25" t="s">
        <v>153</v>
      </c>
      <c r="B25" t="s">
        <v>154</v>
      </c>
      <c r="C25" t="s">
        <v>156</v>
      </c>
      <c r="D25" t="s">
        <v>156</v>
      </c>
      <c r="F25" t="s">
        <v>156</v>
      </c>
      <c r="G25" t="s">
        <v>156</v>
      </c>
      <c r="H25" t="s">
        <v>156</v>
      </c>
      <c r="I25" t="s">
        <v>154</v>
      </c>
      <c r="J25" t="s">
        <v>155</v>
      </c>
    </row>
    <row r="26" spans="1:13" x14ac:dyDescent="0.75">
      <c r="B26" t="s">
        <v>141</v>
      </c>
      <c r="C26" s="33">
        <f>C15+C16+C18+C23</f>
        <v>310.63499999999999</v>
      </c>
      <c r="D26">
        <f>D19+D17+D15</f>
        <v>193.68</v>
      </c>
      <c r="E26">
        <f>E15+E16+E18</f>
        <v>342.52</v>
      </c>
      <c r="F26" s="33">
        <f>F15+F16+F19</f>
        <v>144.6</v>
      </c>
      <c r="G26" s="16">
        <f>G21+G16+G15+G14</f>
        <v>285.48999999999995</v>
      </c>
      <c r="H26">
        <v>0</v>
      </c>
      <c r="I26">
        <f>I15</f>
        <v>232.77999999999997</v>
      </c>
      <c r="J26">
        <f>J15+J16</f>
        <v>209.49999999999997</v>
      </c>
      <c r="K26" s="33">
        <f t="shared" ref="K26:K32" si="0">J26+I26+G26+H26+F26+E26+D26+C26</f>
        <v>1719.2049999999999</v>
      </c>
      <c r="L26" s="33">
        <f>K26/5</f>
        <v>343.84100000000001</v>
      </c>
      <c r="M26" s="33">
        <f>L26/8</f>
        <v>42.980125000000001</v>
      </c>
    </row>
    <row r="27" spans="1:13" x14ac:dyDescent="0.75">
      <c r="K27" s="33">
        <f t="shared" si="0"/>
        <v>0</v>
      </c>
      <c r="L27" s="33">
        <f>L26*2</f>
        <v>687.68200000000002</v>
      </c>
    </row>
    <row r="28" spans="1:13" x14ac:dyDescent="0.75">
      <c r="A28" t="s">
        <v>142</v>
      </c>
      <c r="C28" s="34">
        <f>((33+13+26.5)*1.13)+20</f>
        <v>101.925</v>
      </c>
      <c r="D28">
        <f>20+13.54</f>
        <v>33.54</v>
      </c>
      <c r="E28">
        <f>40+29.38</f>
        <v>69.38</v>
      </c>
      <c r="F28">
        <f>30.5+9</f>
        <v>39.5</v>
      </c>
      <c r="G28">
        <f>26+16.95+20</f>
        <v>62.95</v>
      </c>
      <c r="I28">
        <f>43*1.13</f>
        <v>48.589999999999996</v>
      </c>
      <c r="J28">
        <f>(30*1.13)+20</f>
        <v>53.9</v>
      </c>
      <c r="K28" s="33">
        <f t="shared" si="0"/>
        <v>409.78500000000003</v>
      </c>
    </row>
    <row r="29" spans="1:13" x14ac:dyDescent="0.75">
      <c r="A29" t="s">
        <v>143</v>
      </c>
      <c r="C29">
        <f>81.93+20</f>
        <v>101.93</v>
      </c>
      <c r="D29">
        <f>56.54+20</f>
        <v>76.539999999999992</v>
      </c>
      <c r="E29">
        <f>E28</f>
        <v>69.38</v>
      </c>
      <c r="F29">
        <f t="shared" ref="F29" si="1">30.5</f>
        <v>30.5</v>
      </c>
      <c r="G29">
        <v>62.95</v>
      </c>
      <c r="I29">
        <f t="shared" ref="I29:I32" si="2">43*1.13</f>
        <v>48.589999999999996</v>
      </c>
      <c r="J29">
        <f>(30*1.13)+20</f>
        <v>53.9</v>
      </c>
      <c r="K29" s="33">
        <f t="shared" si="0"/>
        <v>443.79</v>
      </c>
    </row>
    <row r="30" spans="1:13" x14ac:dyDescent="0.75">
      <c r="A30" t="s">
        <v>144</v>
      </c>
      <c r="C30">
        <f>(21.5+7+26.5)*1.13</f>
        <v>62.149999999999991</v>
      </c>
      <c r="D30">
        <f>43+13.54</f>
        <v>56.54</v>
      </c>
      <c r="E30">
        <v>40</v>
      </c>
      <c r="F30">
        <f>13.55</f>
        <v>13.55</v>
      </c>
      <c r="G30">
        <f>15.82+7.95+50</f>
        <v>73.77</v>
      </c>
      <c r="I30">
        <f>34*1.13</f>
        <v>38.419999999999995</v>
      </c>
      <c r="J30">
        <f t="shared" ref="J30:J32" si="3">30*1.13</f>
        <v>33.9</v>
      </c>
      <c r="K30" s="33">
        <f t="shared" si="0"/>
        <v>318.33</v>
      </c>
    </row>
    <row r="31" spans="1:13" x14ac:dyDescent="0.75">
      <c r="A31" t="s">
        <v>145</v>
      </c>
      <c r="C31">
        <f>(26.5+13)*1.13</f>
        <v>44.634999999999998</v>
      </c>
      <c r="D31">
        <v>13.54</v>
      </c>
      <c r="E31">
        <f>E28</f>
        <v>69.38</v>
      </c>
      <c r="F31">
        <f>16.95+13.55</f>
        <v>30.5</v>
      </c>
      <c r="G31">
        <f>26+16.95</f>
        <v>42.95</v>
      </c>
      <c r="I31">
        <f t="shared" si="2"/>
        <v>48.589999999999996</v>
      </c>
      <c r="J31">
        <f>(30*1.13)</f>
        <v>33.9</v>
      </c>
      <c r="K31" s="33">
        <f t="shared" si="0"/>
        <v>283.495</v>
      </c>
    </row>
    <row r="32" spans="1:13" x14ac:dyDescent="0.75">
      <c r="A32" t="s">
        <v>146</v>
      </c>
      <c r="C32">
        <f>13*1.13</f>
        <v>14.689999999999998</v>
      </c>
      <c r="D32">
        <f>13.54</f>
        <v>13.54</v>
      </c>
      <c r="E32">
        <f>40+25+29.38</f>
        <v>94.38</v>
      </c>
      <c r="F32">
        <f>16.95+13.55</f>
        <v>30.5</v>
      </c>
      <c r="G32">
        <f>26+16.95</f>
        <v>42.95</v>
      </c>
      <c r="I32">
        <f t="shared" si="2"/>
        <v>48.589999999999996</v>
      </c>
      <c r="J32">
        <f t="shared" si="3"/>
        <v>33.9</v>
      </c>
      <c r="K32" s="33">
        <f t="shared" si="0"/>
        <v>278.55</v>
      </c>
    </row>
    <row r="34" spans="1:6" x14ac:dyDescent="0.75">
      <c r="A34" t="s">
        <v>158</v>
      </c>
      <c r="B34">
        <v>26</v>
      </c>
      <c r="C34">
        <v>24</v>
      </c>
      <c r="D34">
        <v>24</v>
      </c>
      <c r="E34">
        <v>25</v>
      </c>
      <c r="F34">
        <v>26</v>
      </c>
    </row>
    <row r="35" spans="1:6" x14ac:dyDescent="0.75">
      <c r="B35">
        <v>16</v>
      </c>
      <c r="C35">
        <v>13</v>
      </c>
      <c r="D35">
        <v>13</v>
      </c>
      <c r="E35">
        <v>13</v>
      </c>
      <c r="F35">
        <v>17</v>
      </c>
    </row>
    <row r="61" spans="22:22" x14ac:dyDescent="0.75">
      <c r="V61" t="s">
        <v>118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C8F8-2506-4C2B-933A-EE3A3378685B}">
  <dimension ref="A1:N27"/>
  <sheetViews>
    <sheetView workbookViewId="0">
      <selection activeCell="J15" sqref="J15"/>
    </sheetView>
  </sheetViews>
  <sheetFormatPr defaultRowHeight="14.75" x14ac:dyDescent="0.75"/>
  <cols>
    <col min="3" max="3" width="16.7265625" bestFit="1" customWidth="1"/>
    <col min="4" max="4" width="10.81640625" customWidth="1"/>
    <col min="5" max="5" width="9.76953125" bestFit="1" customWidth="1"/>
  </cols>
  <sheetData>
    <row r="1" spans="1:14" x14ac:dyDescent="0.75">
      <c r="I1" t="s">
        <v>48</v>
      </c>
      <c r="N1" t="s">
        <v>57</v>
      </c>
    </row>
    <row r="2" spans="1:14" x14ac:dyDescent="0.75">
      <c r="A2" t="s">
        <v>22</v>
      </c>
      <c r="B2">
        <v>1</v>
      </c>
      <c r="C2" t="s">
        <v>27</v>
      </c>
      <c r="D2" t="s">
        <v>28</v>
      </c>
      <c r="E2" t="s">
        <v>29</v>
      </c>
      <c r="H2" t="s">
        <v>52</v>
      </c>
      <c r="I2" t="s">
        <v>49</v>
      </c>
    </row>
    <row r="3" spans="1:14" x14ac:dyDescent="0.75">
      <c r="A3" t="s">
        <v>21</v>
      </c>
      <c r="B3">
        <v>2</v>
      </c>
      <c r="C3" t="s">
        <v>59</v>
      </c>
      <c r="H3" t="s">
        <v>52</v>
      </c>
      <c r="I3" t="s">
        <v>50</v>
      </c>
    </row>
    <row r="4" spans="1:14" s="8" customFormat="1" x14ac:dyDescent="0.75">
      <c r="A4" s="8" t="s">
        <v>20</v>
      </c>
      <c r="B4" s="8">
        <v>3</v>
      </c>
      <c r="C4" s="8" t="s">
        <v>30</v>
      </c>
      <c r="D4" s="8" t="s">
        <v>31</v>
      </c>
    </row>
    <row r="5" spans="1:14" s="8" customFormat="1" x14ac:dyDescent="0.75">
      <c r="A5" s="8" t="s">
        <v>23</v>
      </c>
      <c r="B5" s="8">
        <v>4</v>
      </c>
      <c r="C5" s="8" t="s">
        <v>47</v>
      </c>
    </row>
    <row r="6" spans="1:14" x14ac:dyDescent="0.75">
      <c r="A6" t="s">
        <v>26</v>
      </c>
      <c r="B6">
        <v>5</v>
      </c>
      <c r="C6" t="s">
        <v>46</v>
      </c>
      <c r="H6" t="s">
        <v>52</v>
      </c>
    </row>
    <row r="7" spans="1:14" s="7" customFormat="1" x14ac:dyDescent="0.75">
      <c r="A7" s="7" t="s">
        <v>24</v>
      </c>
      <c r="B7" s="7">
        <v>6</v>
      </c>
      <c r="C7" s="7" t="s">
        <v>38</v>
      </c>
      <c r="D7" s="7" t="s">
        <v>39</v>
      </c>
      <c r="E7" s="7" t="s">
        <v>40</v>
      </c>
      <c r="H7" s="7" t="s">
        <v>33</v>
      </c>
    </row>
    <row r="8" spans="1:14" s="7" customFormat="1" x14ac:dyDescent="0.75">
      <c r="A8" s="7" t="s">
        <v>25</v>
      </c>
      <c r="B8" s="7">
        <v>7</v>
      </c>
      <c r="C8" s="7" t="s">
        <v>34</v>
      </c>
      <c r="D8" s="7" t="s">
        <v>36</v>
      </c>
      <c r="E8" s="7" t="s">
        <v>35</v>
      </c>
      <c r="F8" s="7" t="s">
        <v>37</v>
      </c>
      <c r="H8" s="7" t="s">
        <v>33</v>
      </c>
    </row>
    <row r="9" spans="1:14" s="7" customFormat="1" x14ac:dyDescent="0.75">
      <c r="A9" s="7" t="s">
        <v>22</v>
      </c>
      <c r="B9" s="7">
        <v>8</v>
      </c>
      <c r="C9" s="7" t="s">
        <v>41</v>
      </c>
      <c r="D9" s="7" t="s">
        <v>42</v>
      </c>
      <c r="E9" s="7" t="s">
        <v>43</v>
      </c>
      <c r="H9" s="7" t="s">
        <v>33</v>
      </c>
    </row>
    <row r="10" spans="1:14" s="7" customFormat="1" x14ac:dyDescent="0.75">
      <c r="A10" s="7" t="s">
        <v>21</v>
      </c>
      <c r="B10" s="7">
        <v>9</v>
      </c>
      <c r="C10" s="7" t="s">
        <v>44</v>
      </c>
      <c r="D10" s="7" t="s">
        <v>45</v>
      </c>
      <c r="H10" s="7" t="s">
        <v>33</v>
      </c>
    </row>
    <row r="11" spans="1:14" s="8" customFormat="1" x14ac:dyDescent="0.75">
      <c r="A11" s="8" t="s">
        <v>20</v>
      </c>
      <c r="B11" s="8">
        <v>10</v>
      </c>
      <c r="C11" s="8" t="s">
        <v>32</v>
      </c>
    </row>
    <row r="12" spans="1:14" s="8" customFormat="1" x14ac:dyDescent="0.75">
      <c r="A12" s="8" t="s">
        <v>23</v>
      </c>
      <c r="B12" s="8">
        <v>11</v>
      </c>
      <c r="C12" s="8" t="s">
        <v>32</v>
      </c>
    </row>
    <row r="13" spans="1:14" x14ac:dyDescent="0.75">
      <c r="A13" t="s">
        <v>26</v>
      </c>
      <c r="B13">
        <v>12</v>
      </c>
      <c r="H13" t="s">
        <v>53</v>
      </c>
    </row>
    <row r="14" spans="1:14" x14ac:dyDescent="0.75">
      <c r="A14" t="s">
        <v>24</v>
      </c>
      <c r="B14">
        <v>13</v>
      </c>
      <c r="H14" t="s">
        <v>52</v>
      </c>
    </row>
    <row r="15" spans="1:14" x14ac:dyDescent="0.75">
      <c r="A15" t="s">
        <v>25</v>
      </c>
      <c r="B15">
        <v>14</v>
      </c>
      <c r="H15" t="s">
        <v>52</v>
      </c>
    </row>
    <row r="16" spans="1:14" x14ac:dyDescent="0.75">
      <c r="A16" t="s">
        <v>22</v>
      </c>
      <c r="B16">
        <v>15</v>
      </c>
      <c r="C16" t="s">
        <v>27</v>
      </c>
      <c r="H16" t="s">
        <v>33</v>
      </c>
    </row>
    <row r="17" spans="1:8" x14ac:dyDescent="0.75">
      <c r="A17" t="s">
        <v>21</v>
      </c>
      <c r="B17">
        <v>16</v>
      </c>
      <c r="C17" t="s">
        <v>47</v>
      </c>
      <c r="H17" t="s">
        <v>33</v>
      </c>
    </row>
    <row r="18" spans="1:8" s="8" customFormat="1" x14ac:dyDescent="0.75">
      <c r="A18" s="8" t="s">
        <v>20</v>
      </c>
      <c r="B18" s="8">
        <v>17</v>
      </c>
      <c r="C18" s="8" t="s">
        <v>58</v>
      </c>
    </row>
    <row r="19" spans="1:8" s="8" customFormat="1" x14ac:dyDescent="0.75">
      <c r="A19" s="8" t="s">
        <v>23</v>
      </c>
      <c r="B19" s="8">
        <v>18</v>
      </c>
    </row>
    <row r="20" spans="1:8" x14ac:dyDescent="0.75">
      <c r="A20" t="s">
        <v>26</v>
      </c>
      <c r="B20">
        <v>19</v>
      </c>
      <c r="C20" t="s">
        <v>51</v>
      </c>
      <c r="D20" t="s">
        <v>28</v>
      </c>
      <c r="E20" t="s">
        <v>29</v>
      </c>
      <c r="H20" t="s">
        <v>52</v>
      </c>
    </row>
    <row r="21" spans="1:8" x14ac:dyDescent="0.75">
      <c r="A21" t="s">
        <v>24</v>
      </c>
      <c r="B21">
        <v>20</v>
      </c>
      <c r="C21" t="s">
        <v>51</v>
      </c>
      <c r="D21" s="9" t="s">
        <v>30</v>
      </c>
      <c r="H21" t="s">
        <v>52</v>
      </c>
    </row>
    <row r="22" spans="1:8" x14ac:dyDescent="0.75">
      <c r="A22" t="s">
        <v>25</v>
      </c>
      <c r="B22">
        <v>21</v>
      </c>
      <c r="C22" t="s">
        <v>51</v>
      </c>
      <c r="D22" t="s">
        <v>54</v>
      </c>
      <c r="E22" t="s">
        <v>55</v>
      </c>
      <c r="F22" t="s">
        <v>45</v>
      </c>
      <c r="H22" t="s">
        <v>52</v>
      </c>
    </row>
    <row r="23" spans="1:8" x14ac:dyDescent="0.75">
      <c r="A23" t="s">
        <v>22</v>
      </c>
      <c r="B23">
        <v>22</v>
      </c>
      <c r="C23" t="s">
        <v>51</v>
      </c>
      <c r="D23" t="s">
        <v>56</v>
      </c>
      <c r="H23" t="s">
        <v>52</v>
      </c>
    </row>
    <row r="24" spans="1:8" x14ac:dyDescent="0.75">
      <c r="A24" t="s">
        <v>21</v>
      </c>
      <c r="B24">
        <v>23</v>
      </c>
      <c r="C24" t="s">
        <v>51</v>
      </c>
      <c r="H24" t="s">
        <v>33</v>
      </c>
    </row>
    <row r="25" spans="1:8" s="8" customFormat="1" x14ac:dyDescent="0.75">
      <c r="A25" s="8" t="s">
        <v>20</v>
      </c>
      <c r="B25" s="8">
        <v>24</v>
      </c>
      <c r="C25" s="8" t="s">
        <v>51</v>
      </c>
    </row>
    <row r="26" spans="1:8" s="8" customFormat="1" x14ac:dyDescent="0.75">
      <c r="A26" s="8" t="s">
        <v>23</v>
      </c>
      <c r="B26" s="8">
        <v>25</v>
      </c>
      <c r="C26" s="8" t="s">
        <v>51</v>
      </c>
    </row>
    <row r="27" spans="1:8" x14ac:dyDescent="0.75">
      <c r="A27" t="s">
        <v>26</v>
      </c>
      <c r="B27">
        <v>26</v>
      </c>
      <c r="C27" t="s">
        <v>51</v>
      </c>
      <c r="H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Anexos</vt:lpstr>
      <vt:lpstr>Andre</vt:lpstr>
      <vt:lpstr>Marko y 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Peralta Gutierrez</dc:creator>
  <cp:lastModifiedBy>Carlos Peralta Gutierrez</cp:lastModifiedBy>
  <dcterms:created xsi:type="dcterms:W3CDTF">2026-05-27T15:50:12Z</dcterms:created>
  <dcterms:modified xsi:type="dcterms:W3CDTF">2026-08-24T21:56:44Z</dcterms:modified>
</cp:coreProperties>
</file>